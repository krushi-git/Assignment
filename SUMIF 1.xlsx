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rushi\task\assignment\"/>
    </mc:Choice>
  </mc:AlternateContent>
  <xr:revisionPtr revIDLastSave="0" documentId="8_{C4400069-45BE-4221-A5C8-E7744D2CA5E2}" xr6:coauthVersionLast="47" xr6:coauthVersionMax="47" xr10:uidLastSave="{00000000-0000-0000-0000-000000000000}"/>
  <bookViews>
    <workbookView xWindow="-108" yWindow="-108" windowWidth="23256" windowHeight="12456" xr2:uid="{03C65BCA-DAE2-4E91-A734-4A07553149E0}"/>
  </bookViews>
  <sheets>
    <sheet name="SUMIF 1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1" i="1" l="1"/>
  <c r="H20" i="1"/>
  <c r="H18" i="1"/>
  <c r="H15" i="1"/>
  <c r="H16" i="1"/>
</calcChain>
</file>

<file path=xl/sharedStrings.xml><?xml version="1.0" encoding="utf-8"?>
<sst xmlns="http://schemas.openxmlformats.org/spreadsheetml/2006/main" count="20" uniqueCount="12">
  <si>
    <t>Client #</t>
  </si>
  <si>
    <t>Balance</t>
  </si>
  <si>
    <t>VIP Account?</t>
  </si>
  <si>
    <t>Total commisions</t>
  </si>
  <si>
    <t>Yes</t>
  </si>
  <si>
    <t>No</t>
  </si>
  <si>
    <t>SUMIF</t>
  </si>
  <si>
    <t>What is the total amout of money in VIP Accounts?</t>
  </si>
  <si>
    <t>What is the total amout of money in Non-VIP Accounts?</t>
  </si>
  <si>
    <t>What is the total amount of commisions from accounts that are over $10,000?</t>
  </si>
  <si>
    <t>What is the total amout of money in accounts over $10,000?</t>
  </si>
  <si>
    <t>What is the total amout of money in accounts under $9,500?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</si>
</sst>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0" fontId="2" fillId="0" borderId="0" xfId="0" applyFont="1"/>
    <xf numFmtId="0" fontId="0" fillId="2" borderId="2" xfId="0" applyFill="1" applyBorder="1" applyProtection="1">
      <protection locked="0"/>
    </xf>
  </cellXfs>
  <cellStyles count="2">
    <cellStyle name="Comma 2" xfId="1" xr:uid="{76E6F6A1-3200-4718-9108-CB32840B4BA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D08BD2-ECDC-4869-9200-B442D329F732}">
  <dimension ref="A1:H21"/>
  <sheetViews>
    <sheetView showGridLines="0" tabSelected="1" workbookViewId="0">
      <selection activeCell="H22" sqref="H22"/>
    </sheetView>
  </sheetViews>
  <sheetFormatPr defaultColWidth="9.109375" defaultRowHeight="14.4" x14ac:dyDescent="0.3"/>
  <cols>
    <col min="1" max="1" width="2.44140625" customWidth="1"/>
    <col min="2" max="2" width="7.6640625" customWidth="1"/>
    <col min="4" max="4" width="14.44140625" bestFit="1" customWidth="1"/>
    <col min="5" max="5" width="16.5546875" bestFit="1" customWidth="1"/>
    <col min="7" max="7" width="12.5546875" customWidth="1"/>
  </cols>
  <sheetData>
    <row r="1" spans="1:8" x14ac:dyDescent="0.3">
      <c r="B1" s="1" t="s">
        <v>0</v>
      </c>
      <c r="C1" s="1" t="s">
        <v>1</v>
      </c>
      <c r="D1" s="1" t="s">
        <v>2</v>
      </c>
      <c r="E1" s="1" t="s">
        <v>3</v>
      </c>
    </row>
    <row r="2" spans="1:8" x14ac:dyDescent="0.3">
      <c r="B2" s="2">
        <v>1</v>
      </c>
      <c r="C2" s="3">
        <v>8000</v>
      </c>
      <c r="D2" s="2" t="s">
        <v>4</v>
      </c>
      <c r="E2" s="2">
        <v>10</v>
      </c>
    </row>
    <row r="3" spans="1:8" x14ac:dyDescent="0.3">
      <c r="B3" s="2">
        <v>2</v>
      </c>
      <c r="C3" s="3">
        <v>11000</v>
      </c>
      <c r="D3" s="2" t="s">
        <v>4</v>
      </c>
      <c r="E3" s="2">
        <v>9</v>
      </c>
    </row>
    <row r="4" spans="1:8" x14ac:dyDescent="0.3">
      <c r="B4" s="2">
        <v>3</v>
      </c>
      <c r="C4" s="3">
        <v>6000</v>
      </c>
      <c r="D4" s="2" t="s">
        <v>5</v>
      </c>
      <c r="E4" s="2">
        <v>5</v>
      </c>
    </row>
    <row r="5" spans="1:8" x14ac:dyDescent="0.3">
      <c r="B5" s="2">
        <v>4</v>
      </c>
      <c r="C5" s="3">
        <v>15000</v>
      </c>
      <c r="D5" s="2" t="s">
        <v>4</v>
      </c>
      <c r="E5" s="2">
        <v>10</v>
      </c>
    </row>
    <row r="6" spans="1:8" x14ac:dyDescent="0.3">
      <c r="B6" s="2">
        <v>5</v>
      </c>
      <c r="C6" s="3">
        <v>10000</v>
      </c>
      <c r="D6" s="2" t="s">
        <v>5</v>
      </c>
      <c r="E6" s="2">
        <v>2</v>
      </c>
    </row>
    <row r="7" spans="1:8" x14ac:dyDescent="0.3">
      <c r="B7" s="2">
        <v>6</v>
      </c>
      <c r="C7" s="3">
        <v>15000</v>
      </c>
      <c r="D7" s="2" t="s">
        <v>4</v>
      </c>
      <c r="E7" s="2">
        <v>5</v>
      </c>
    </row>
    <row r="8" spans="1:8" x14ac:dyDescent="0.3">
      <c r="B8" s="2">
        <v>7</v>
      </c>
      <c r="C8" s="3">
        <v>13000</v>
      </c>
      <c r="D8" s="2" t="s">
        <v>4</v>
      </c>
      <c r="E8" s="2">
        <v>999</v>
      </c>
    </row>
    <row r="9" spans="1:8" x14ac:dyDescent="0.3">
      <c r="B9" s="2">
        <v>8</v>
      </c>
      <c r="C9" s="3">
        <v>8000</v>
      </c>
      <c r="D9" s="2" t="s">
        <v>4</v>
      </c>
      <c r="E9" s="2">
        <v>2</v>
      </c>
    </row>
    <row r="10" spans="1:8" x14ac:dyDescent="0.3">
      <c r="B10" s="2">
        <v>9</v>
      </c>
      <c r="C10" s="3">
        <v>11000</v>
      </c>
      <c r="D10" s="2" t="s">
        <v>5</v>
      </c>
      <c r="E10" s="2">
        <v>5</v>
      </c>
    </row>
    <row r="11" spans="1:8" x14ac:dyDescent="0.3">
      <c r="B11" s="2">
        <v>10</v>
      </c>
      <c r="C11" s="3">
        <v>9000</v>
      </c>
      <c r="D11" s="2" t="s">
        <v>4</v>
      </c>
      <c r="E11" s="2">
        <v>6</v>
      </c>
    </row>
    <row r="14" spans="1:8" ht="15" thickBot="1" x14ac:dyDescent="0.35">
      <c r="B14" s="4" t="s">
        <v>6</v>
      </c>
    </row>
    <row r="15" spans="1:8" ht="15" thickBot="1" x14ac:dyDescent="0.35">
      <c r="A15">
        <v>1</v>
      </c>
      <c r="B15" t="s">
        <v>7</v>
      </c>
      <c r="H15" s="5">
        <f>SUMIF(D2:D11,"yes",C2:C11)</f>
        <v>79000</v>
      </c>
    </row>
    <row r="16" spans="1:8" ht="15" thickBot="1" x14ac:dyDescent="0.35">
      <c r="A16">
        <v>2</v>
      </c>
      <c r="B16" t="s">
        <v>8</v>
      </c>
      <c r="H16" s="5">
        <f>SUMIF(D2:D11,"No",C2:C11)</f>
        <v>27000</v>
      </c>
    </row>
    <row r="17" spans="1:8" ht="15" thickBot="1" x14ac:dyDescent="0.35"/>
    <row r="18" spans="1:8" ht="15" thickBot="1" x14ac:dyDescent="0.35">
      <c r="A18">
        <v>3</v>
      </c>
      <c r="B18" t="s">
        <v>9</v>
      </c>
      <c r="H18" s="5">
        <f>SUMIF(C2:C11,"&gt;10000",E2:E11)</f>
        <v>1028</v>
      </c>
    </row>
    <row r="19" spans="1:8" ht="15" thickBot="1" x14ac:dyDescent="0.35"/>
    <row r="20" spans="1:8" ht="15" thickBot="1" x14ac:dyDescent="0.35">
      <c r="A20">
        <v>4</v>
      </c>
      <c r="B20" t="s">
        <v>10</v>
      </c>
      <c r="H20" s="5">
        <f>SUMIF(C2:C11,"&gt;10000",C2:C11)</f>
        <v>65000</v>
      </c>
    </row>
    <row r="21" spans="1:8" ht="15" thickBot="1" x14ac:dyDescent="0.35">
      <c r="A21">
        <v>5</v>
      </c>
      <c r="B21" t="s">
        <v>11</v>
      </c>
      <c r="H21" s="5">
        <f>SUMIF(C2:C11,"&lt;9500",C2:C11)</f>
        <v>31000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SUMIF 1 -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Krushi Mehta</cp:lastModifiedBy>
  <cp:revision/>
  <dcterms:created xsi:type="dcterms:W3CDTF">2021-05-21T19:08:00Z</dcterms:created>
  <dcterms:modified xsi:type="dcterms:W3CDTF">2025-08-08T05:53:17Z</dcterms:modified>
  <cp:category/>
  <cp:contentStatus/>
</cp:coreProperties>
</file>